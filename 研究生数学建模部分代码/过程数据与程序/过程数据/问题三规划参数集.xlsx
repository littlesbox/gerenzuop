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E:\matlab\华为杯\2022年中国研究生数学建模竞赛试题\2022年F题\"/>
    </mc:Choice>
  </mc:AlternateContent>
  <xr:revisionPtr revIDLastSave="0" documentId="13_ncr:1_{C6E50B63-0E8E-44E0-887D-D0F4A0F4C6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b_i">Sheet1!$B$5:$B$15</definedName>
    <definedName name="d_i">Sheet1!$B$1:$J$1</definedName>
    <definedName name="M_i">Sheet1!$B$2:$J$2</definedName>
    <definedName name="min_i">Sheet1!$B$17:$J$17</definedName>
    <definedName name="Tras_max">Sheet1!$L$2</definedName>
    <definedName name="x_ij">Sheet1!$D$5:$L$10</definedName>
    <definedName name="y_i">Sheet1!$M$5:$M$10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5" i="1" l="1"/>
  <c r="C19" i="1"/>
  <c r="D19" i="1"/>
  <c r="E19" i="1"/>
  <c r="F19" i="1"/>
  <c r="G19" i="1"/>
  <c r="H19" i="1"/>
  <c r="I19" i="1"/>
  <c r="J19" i="1"/>
  <c r="B19" i="1"/>
  <c r="K17" i="1"/>
  <c r="C18" i="1"/>
  <c r="D18" i="1"/>
  <c r="E18" i="1"/>
  <c r="F18" i="1"/>
  <c r="G18" i="1"/>
  <c r="H18" i="1"/>
  <c r="I18" i="1"/>
  <c r="J18" i="1"/>
  <c r="B18" i="1"/>
  <c r="E11" i="1"/>
  <c r="F11" i="1"/>
  <c r="G11" i="1"/>
  <c r="H11" i="1"/>
  <c r="I11" i="1"/>
  <c r="J11" i="1"/>
  <c r="K11" i="1"/>
  <c r="L11" i="1"/>
  <c r="D11" i="1"/>
  <c r="I12" i="1"/>
  <c r="E12" i="1"/>
  <c r="F12" i="1"/>
  <c r="G12" i="1"/>
  <c r="H12" i="1"/>
  <c r="J12" i="1"/>
  <c r="K12" i="1"/>
  <c r="L12" i="1"/>
  <c r="D12" i="1"/>
</calcChain>
</file>

<file path=xl/sharedStrings.xml><?xml version="1.0" encoding="utf-8"?>
<sst xmlns="http://schemas.openxmlformats.org/spreadsheetml/2006/main" count="11" uniqueCount="11">
  <si>
    <t>d_i</t>
    <phoneticPr fontId="1" type="noConversion"/>
  </si>
  <si>
    <t>b_i</t>
    <phoneticPr fontId="1" type="noConversion"/>
  </si>
  <si>
    <t>M_i</t>
    <phoneticPr fontId="1" type="noConversion"/>
  </si>
  <si>
    <t>6d_i</t>
    <phoneticPr fontId="1" type="noConversion"/>
  </si>
  <si>
    <t>sum</t>
    <phoneticPr fontId="1" type="noConversion"/>
  </si>
  <si>
    <t>Tras_max</t>
    <phoneticPr fontId="1" type="noConversion"/>
  </si>
  <si>
    <t>min_i</t>
    <phoneticPr fontId="1" type="noConversion"/>
  </si>
  <si>
    <t>2d_i</t>
    <phoneticPr fontId="1" type="noConversion"/>
  </si>
  <si>
    <t>2min_i</t>
    <phoneticPr fontId="1" type="noConversion"/>
  </si>
  <si>
    <t>sum min_i</t>
    <phoneticPr fontId="1" type="noConversion"/>
  </si>
  <si>
    <t>6min_i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</si>
</sst>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workbookViewId="0">
      <selection activeCell="Q14" sqref="Q14"/>
    </sheetView>
  </sheetViews>
  <sheetFormatPr defaultRowHeight="14.25" x14ac:dyDescent="0.2"/>
  <cols>
    <col min="16" max="16" width="13.125" customWidth="1"/>
  </cols>
  <sheetData>
    <row r="1" spans="1:17" x14ac:dyDescent="0.2">
      <c r="A1" t="s">
        <v>0</v>
      </c>
      <c r="B1" s="1">
        <v>231.2</v>
      </c>
      <c r="C1" s="1">
        <v>195.6</v>
      </c>
      <c r="D1" s="1">
        <v>130.4</v>
      </c>
      <c r="E1" s="1">
        <v>154</v>
      </c>
      <c r="F1" s="1">
        <v>170.4</v>
      </c>
      <c r="G1" s="1">
        <v>147.19999999999999</v>
      </c>
      <c r="H1" s="1">
        <v>81.2</v>
      </c>
      <c r="I1" s="1">
        <v>91.2</v>
      </c>
      <c r="J1" s="1">
        <v>86.8</v>
      </c>
      <c r="L1" t="s">
        <v>5</v>
      </c>
    </row>
    <row r="2" spans="1:17" x14ac:dyDescent="0.2">
      <c r="A2" t="s">
        <v>2</v>
      </c>
      <c r="B2" s="1">
        <v>735.76749999999993</v>
      </c>
      <c r="C2" s="1">
        <v>879.41100000000006</v>
      </c>
      <c r="D2" s="1">
        <v>521.69299999999998</v>
      </c>
      <c r="E2" s="1">
        <v>455.779</v>
      </c>
      <c r="F2" s="1">
        <v>590.59799999999996</v>
      </c>
      <c r="G2" s="1">
        <v>386</v>
      </c>
      <c r="H2" s="1">
        <v>420.012</v>
      </c>
      <c r="I2" s="1">
        <v>993.13300000000004</v>
      </c>
      <c r="J2" s="1">
        <v>528.79999999999995</v>
      </c>
      <c r="L2">
        <v>2398.3499999999995</v>
      </c>
    </row>
    <row r="3" spans="1:17" x14ac:dyDescent="0.2">
      <c r="A3" t="s">
        <v>3</v>
      </c>
      <c r="B3">
        <v>1387.1999999999998</v>
      </c>
      <c r="C3">
        <v>1173.5999999999999</v>
      </c>
      <c r="D3">
        <v>782.40000000000009</v>
      </c>
      <c r="E3">
        <v>924</v>
      </c>
      <c r="F3">
        <v>1022.4000000000001</v>
      </c>
      <c r="G3">
        <v>883.19999999999993</v>
      </c>
      <c r="H3">
        <v>487.20000000000005</v>
      </c>
      <c r="I3">
        <v>547.20000000000005</v>
      </c>
      <c r="J3">
        <v>520.79999999999995</v>
      </c>
    </row>
    <row r="4" spans="1:17" x14ac:dyDescent="0.2">
      <c r="B4" t="s">
        <v>1</v>
      </c>
    </row>
    <row r="5" spans="1:17" x14ac:dyDescent="0.2">
      <c r="B5">
        <v>931.18815709229898</v>
      </c>
      <c r="D5" s="2">
        <v>462.4</v>
      </c>
      <c r="E5" s="3">
        <v>391.2</v>
      </c>
      <c r="F5" s="3">
        <v>298.87358553456721</v>
      </c>
      <c r="G5" s="3">
        <v>308</v>
      </c>
      <c r="H5" s="3">
        <v>340.8</v>
      </c>
      <c r="I5" s="3">
        <v>294.39999999999998</v>
      </c>
      <c r="J5" s="3">
        <v>0</v>
      </c>
      <c r="K5" s="3">
        <v>182.4</v>
      </c>
      <c r="L5" s="4">
        <v>0</v>
      </c>
      <c r="M5">
        <v>0</v>
      </c>
      <c r="O5">
        <v>13</v>
      </c>
      <c r="Q5">
        <f>B5+O5*B6+B7*D5+B8*E5+B9*F5+B10*G5+B11*H5+B12*I5+B13*J5+B14*K5+B15*L5</f>
        <v>-1.7053025658242404E-13</v>
      </c>
    </row>
    <row r="6" spans="1:17" x14ac:dyDescent="0.2">
      <c r="B6">
        <v>-27.111044943537699</v>
      </c>
      <c r="D6" s="5">
        <v>0</v>
      </c>
      <c r="E6">
        <v>0</v>
      </c>
      <c r="F6">
        <v>177.84560011836135</v>
      </c>
      <c r="G6">
        <v>0</v>
      </c>
      <c r="H6">
        <v>0</v>
      </c>
      <c r="I6">
        <v>0</v>
      </c>
      <c r="J6">
        <v>162.4</v>
      </c>
      <c r="K6">
        <v>0</v>
      </c>
      <c r="L6" s="6">
        <v>173.6</v>
      </c>
      <c r="M6">
        <v>0</v>
      </c>
      <c r="O6">
        <v>14</v>
      </c>
    </row>
    <row r="7" spans="1:17" x14ac:dyDescent="0.2">
      <c r="B7">
        <v>-0.45698047754472898</v>
      </c>
      <c r="D7" s="5">
        <v>462.4</v>
      </c>
      <c r="E7">
        <v>391.2</v>
      </c>
      <c r="F7">
        <v>280.75091370032129</v>
      </c>
      <c r="G7">
        <v>308</v>
      </c>
      <c r="H7">
        <v>340.8</v>
      </c>
      <c r="I7">
        <v>294.39999999999998</v>
      </c>
      <c r="J7">
        <v>0</v>
      </c>
      <c r="K7">
        <v>182.4</v>
      </c>
      <c r="L7" s="6">
        <v>0</v>
      </c>
      <c r="M7">
        <v>0</v>
      </c>
      <c r="O7">
        <v>15</v>
      </c>
    </row>
    <row r="8" spans="1:17" x14ac:dyDescent="0.2">
      <c r="B8">
        <v>-0.45447641919362902</v>
      </c>
      <c r="D8" s="5">
        <v>0</v>
      </c>
      <c r="E8">
        <v>0</v>
      </c>
      <c r="F8">
        <v>126.65070962014967</v>
      </c>
      <c r="G8">
        <v>0</v>
      </c>
      <c r="H8">
        <v>0</v>
      </c>
      <c r="I8">
        <v>0</v>
      </c>
      <c r="J8">
        <v>162.4</v>
      </c>
      <c r="K8">
        <v>0</v>
      </c>
      <c r="L8" s="6">
        <v>355.19999999999993</v>
      </c>
      <c r="M8">
        <v>0</v>
      </c>
      <c r="O8">
        <v>16</v>
      </c>
    </row>
    <row r="9" spans="1:17" x14ac:dyDescent="0.2">
      <c r="B9">
        <v>-2.9919478972528499</v>
      </c>
      <c r="D9" s="5">
        <v>462.4</v>
      </c>
      <c r="E9">
        <v>391.2</v>
      </c>
      <c r="F9">
        <v>231.01294913444286</v>
      </c>
      <c r="G9">
        <v>308</v>
      </c>
      <c r="H9">
        <v>340.8</v>
      </c>
      <c r="I9">
        <v>294.39999999999998</v>
      </c>
      <c r="J9">
        <v>0</v>
      </c>
      <c r="K9">
        <v>182.4</v>
      </c>
      <c r="L9" s="6">
        <v>173.6</v>
      </c>
      <c r="M9">
        <v>0</v>
      </c>
      <c r="O9">
        <v>17</v>
      </c>
    </row>
    <row r="10" spans="1:17" x14ac:dyDescent="0.2">
      <c r="B10">
        <v>0.47951465678704502</v>
      </c>
      <c r="D10" s="7">
        <v>0</v>
      </c>
      <c r="E10" s="8">
        <v>0</v>
      </c>
      <c r="F10" s="8">
        <v>173.21554918150215</v>
      </c>
      <c r="G10" s="8">
        <v>0</v>
      </c>
      <c r="H10" s="8">
        <v>0</v>
      </c>
      <c r="I10" s="8">
        <v>0</v>
      </c>
      <c r="J10" s="8">
        <v>162.4</v>
      </c>
      <c r="K10" s="8">
        <v>0</v>
      </c>
      <c r="L10" s="9">
        <v>0</v>
      </c>
      <c r="M10">
        <v>0</v>
      </c>
      <c r="O10">
        <v>18</v>
      </c>
    </row>
    <row r="11" spans="1:17" x14ac:dyDescent="0.2">
      <c r="B11">
        <v>0.30850324142388402</v>
      </c>
      <c r="D11">
        <f>2*B1</f>
        <v>462.4</v>
      </c>
      <c r="E11">
        <f t="shared" ref="E11:L11" si="0">2*C1</f>
        <v>391.2</v>
      </c>
      <c r="F11">
        <f t="shared" si="0"/>
        <v>260.8</v>
      </c>
      <c r="G11">
        <f t="shared" si="0"/>
        <v>308</v>
      </c>
      <c r="H11">
        <f t="shared" si="0"/>
        <v>340.8</v>
      </c>
      <c r="I11">
        <f t="shared" si="0"/>
        <v>294.39999999999998</v>
      </c>
      <c r="J11">
        <f t="shared" si="0"/>
        <v>162.4</v>
      </c>
      <c r="K11">
        <f t="shared" si="0"/>
        <v>182.4</v>
      </c>
      <c r="L11">
        <f t="shared" si="0"/>
        <v>173.6</v>
      </c>
      <c r="M11" t="s">
        <v>7</v>
      </c>
    </row>
    <row r="12" spans="1:17" x14ac:dyDescent="0.2">
      <c r="B12">
        <v>1.0402226520455</v>
      </c>
      <c r="D12">
        <f>SUM(D5:D10)</f>
        <v>1387.1999999999998</v>
      </c>
      <c r="E12">
        <f t="shared" ref="E12:L12" si="1">SUM(E5:E10)</f>
        <v>1173.5999999999999</v>
      </c>
      <c r="F12">
        <f t="shared" si="1"/>
        <v>1288.3493072893446</v>
      </c>
      <c r="G12">
        <f t="shared" si="1"/>
        <v>924</v>
      </c>
      <c r="H12">
        <f t="shared" si="1"/>
        <v>1022.4000000000001</v>
      </c>
      <c r="I12">
        <f>SUM(I5:I10)</f>
        <v>883.19999999999993</v>
      </c>
      <c r="J12">
        <f t="shared" si="1"/>
        <v>487.20000000000005</v>
      </c>
      <c r="K12">
        <f t="shared" si="1"/>
        <v>547.20000000000005</v>
      </c>
      <c r="L12">
        <f t="shared" si="1"/>
        <v>702.4</v>
      </c>
      <c r="M12" t="s">
        <v>4</v>
      </c>
    </row>
    <row r="13" spans="1:17" x14ac:dyDescent="0.2">
      <c r="B13">
        <v>0.46220782042163</v>
      </c>
    </row>
    <row r="14" spans="1:17" x14ac:dyDescent="0.2">
      <c r="B14">
        <v>0.79768971071066097</v>
      </c>
    </row>
    <row r="15" spans="1:17" x14ac:dyDescent="0.2">
      <c r="B15">
        <v>-0.54488080996221999</v>
      </c>
    </row>
    <row r="16" spans="1:17" x14ac:dyDescent="0.2">
      <c r="K16" t="s">
        <v>9</v>
      </c>
    </row>
    <row r="17" spans="1:11" x14ac:dyDescent="0.2">
      <c r="A17" t="s">
        <v>6</v>
      </c>
      <c r="B17">
        <v>82.9</v>
      </c>
      <c r="C17">
        <v>165.946</v>
      </c>
      <c r="D17">
        <v>87.31</v>
      </c>
      <c r="E17">
        <v>50.7</v>
      </c>
      <c r="F17">
        <v>57</v>
      </c>
      <c r="G17">
        <v>74.62</v>
      </c>
      <c r="H17">
        <v>40</v>
      </c>
      <c r="I17">
        <v>93.1</v>
      </c>
      <c r="J17">
        <v>27.37</v>
      </c>
      <c r="K17">
        <f>SUM(min_i)</f>
        <v>678.94600000000003</v>
      </c>
    </row>
    <row r="18" spans="1:11" x14ac:dyDescent="0.2">
      <c r="A18" t="s">
        <v>8</v>
      </c>
      <c r="B18">
        <f>2*B17</f>
        <v>165.8</v>
      </c>
      <c r="C18">
        <f t="shared" ref="C18:J18" si="2">2*C17</f>
        <v>331.892</v>
      </c>
      <c r="D18">
        <f t="shared" si="2"/>
        <v>174.62</v>
      </c>
      <c r="E18">
        <f t="shared" si="2"/>
        <v>101.4</v>
      </c>
      <c r="F18">
        <f t="shared" si="2"/>
        <v>114</v>
      </c>
      <c r="G18">
        <f t="shared" si="2"/>
        <v>149.24</v>
      </c>
      <c r="H18">
        <f t="shared" si="2"/>
        <v>80</v>
      </c>
      <c r="I18">
        <f t="shared" si="2"/>
        <v>186.2</v>
      </c>
      <c r="J18">
        <f t="shared" si="2"/>
        <v>54.74</v>
      </c>
    </row>
    <row r="19" spans="1:11" x14ac:dyDescent="0.2">
      <c r="A19" t="s">
        <v>10</v>
      </c>
      <c r="B19">
        <f>6*B17</f>
        <v>497.40000000000003</v>
      </c>
      <c r="C19">
        <f t="shared" ref="C19:J19" si="3">6*C17</f>
        <v>995.67599999999993</v>
      </c>
      <c r="D19">
        <f t="shared" si="3"/>
        <v>523.86</v>
      </c>
      <c r="E19">
        <f t="shared" si="3"/>
        <v>304.20000000000005</v>
      </c>
      <c r="F19">
        <f t="shared" si="3"/>
        <v>342</v>
      </c>
      <c r="G19">
        <f t="shared" si="3"/>
        <v>447.72</v>
      </c>
      <c r="H19">
        <f t="shared" si="3"/>
        <v>240</v>
      </c>
      <c r="I19">
        <f t="shared" si="3"/>
        <v>558.59999999999991</v>
      </c>
      <c r="J19">
        <f t="shared" si="3"/>
        <v>164.22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7</vt:i4>
      </vt:variant>
    </vt:vector>
  </HeadingPairs>
  <TitlesOfParts>
    <vt:vector size="8" baseType="lpstr">
      <vt:lpstr>Sheet1</vt:lpstr>
      <vt:lpstr>b_i</vt:lpstr>
      <vt:lpstr>d_i</vt:lpstr>
      <vt:lpstr>M_i</vt:lpstr>
      <vt:lpstr>min_i</vt:lpstr>
      <vt:lpstr>Tras_max</vt:lpstr>
      <vt:lpstr>x_ij</vt:lpstr>
      <vt:lpstr>y_i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2022-10-09T05:48:35Z</dcterms:modified>
</cp:coreProperties>
</file>